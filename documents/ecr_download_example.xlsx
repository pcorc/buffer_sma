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kCorcoran\Downloads\"/>
    </mc:Choice>
  </mc:AlternateContent>
  <xr:revisionPtr revIDLastSave="0" documentId="8_{6E99B38B-9744-4ED1-97D3-5F211A0BFFC4}" xr6:coauthVersionLast="47" xr6:coauthVersionMax="47" xr10:uidLastSave="{00000000-0000-0000-0000-000000000000}"/>
  <bookViews>
    <workbookView xWindow="57480" yWindow="-120" windowWidth="29040" windowHeight="15720" xr2:uid="{B2A1EC45-E195-4E3D-B27A-2CC518FE2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0" i="1" l="1"/>
  <c r="Y10" i="1"/>
  <c r="X10" i="1"/>
  <c r="W10" i="1"/>
  <c r="V10" i="1"/>
  <c r="AA10" i="1" s="1"/>
  <c r="Z9" i="1"/>
  <c r="Y9" i="1"/>
  <c r="X9" i="1"/>
  <c r="W9" i="1"/>
  <c r="V9" i="1"/>
  <c r="AA9" i="1" s="1"/>
  <c r="Z8" i="1"/>
  <c r="Y8" i="1"/>
  <c r="X8" i="1"/>
  <c r="W8" i="1"/>
  <c r="V8" i="1"/>
  <c r="AA8" i="1" s="1"/>
  <c r="Z7" i="1"/>
  <c r="Y7" i="1"/>
  <c r="X7" i="1"/>
  <c r="W7" i="1"/>
  <c r="V7" i="1"/>
  <c r="AA7" i="1" s="1"/>
  <c r="Z6" i="1"/>
  <c r="Y6" i="1"/>
  <c r="X6" i="1"/>
  <c r="W6" i="1"/>
  <c r="V6" i="1"/>
  <c r="AA6" i="1" s="1"/>
  <c r="Z5" i="1"/>
  <c r="Y5" i="1"/>
  <c r="X5" i="1"/>
  <c r="W5" i="1"/>
  <c r="V5" i="1"/>
  <c r="AA5" i="1" s="1"/>
  <c r="Z4" i="1"/>
  <c r="Y4" i="1"/>
  <c r="X4" i="1"/>
  <c r="W4" i="1"/>
  <c r="V4" i="1"/>
  <c r="AA4" i="1" s="1"/>
  <c r="Z3" i="1"/>
  <c r="Y3" i="1"/>
  <c r="X3" i="1"/>
  <c r="W3" i="1"/>
  <c r="V3" i="1"/>
  <c r="AA3" i="1" s="1"/>
  <c r="Z2" i="1"/>
  <c r="Y2" i="1"/>
  <c r="X2" i="1"/>
  <c r="W2" i="1"/>
  <c r="V2" i="1"/>
  <c r="AA2" i="1" s="1"/>
</calcChain>
</file>

<file path=xl/sharedStrings.xml><?xml version="1.0" encoding="utf-8"?>
<sst xmlns="http://schemas.openxmlformats.org/spreadsheetml/2006/main" count="63" uniqueCount="47">
  <si>
    <t>Date</t>
  </si>
  <si>
    <t>Fund</t>
  </si>
  <si>
    <t>Strategy Type</t>
  </si>
  <si>
    <t>Series</t>
  </si>
  <si>
    <t>Fund Value (USD)</t>
  </si>
  <si>
    <t>Fund Return (%)</t>
  </si>
  <si>
    <t>Reference Asset Value (USD)</t>
  </si>
  <si>
    <t>Reference Asset Return (%)</t>
  </si>
  <si>
    <t>Remaining Outcome Days</t>
  </si>
  <si>
    <t>Remaining Cap (%)</t>
  </si>
  <si>
    <t>Remaining Cap Net (%)</t>
  </si>
  <si>
    <t>Reference Asset Return to Realize Cap (%)</t>
  </si>
  <si>
    <t>Remaining Buffer (%)</t>
  </si>
  <si>
    <t>Remaining Buffer Net (%)</t>
  </si>
  <si>
    <t>Downside Before Buffer (%)</t>
  </si>
  <si>
    <t>Downside Before Buffer Net (%)</t>
  </si>
  <si>
    <t>Reference Asset to Buffer End (%)</t>
  </si>
  <si>
    <t>Unrealized Option Payoff (%)</t>
  </si>
  <si>
    <t>Unrealized Option Payoff Net (%)</t>
  </si>
  <si>
    <t>Original Cap Net (%)</t>
  </si>
  <si>
    <t>Original Buffer Net (%)</t>
  </si>
  <si>
    <t>DBB Score</t>
  </si>
  <si>
    <t>Buffer Integrity</t>
  </si>
  <si>
    <t>Cap Integrity</t>
  </si>
  <si>
    <t>Reset Proximity</t>
  </si>
  <si>
    <t>Period Position</t>
  </si>
  <si>
    <t>ECR 2.0</t>
  </si>
  <si>
    <t>9/21/2026</t>
  </si>
  <si>
    <t>BGLD</t>
  </si>
  <si>
    <t>Deep Buffer</t>
  </si>
  <si>
    <t>Quarterly</t>
  </si>
  <si>
    <t>DAPR</t>
  </si>
  <si>
    <t>April</t>
  </si>
  <si>
    <t>DAUG</t>
  </si>
  <si>
    <t>August</t>
  </si>
  <si>
    <t>DDEC</t>
  </si>
  <si>
    <t>December</t>
  </si>
  <si>
    <t>DFEB</t>
  </si>
  <si>
    <t>February</t>
  </si>
  <si>
    <t>DHDG</t>
  </si>
  <si>
    <t>Buffer</t>
  </si>
  <si>
    <t>DJAN</t>
  </si>
  <si>
    <t>January</t>
  </si>
  <si>
    <t>DJUL</t>
  </si>
  <si>
    <t>July</t>
  </si>
  <si>
    <t>DJUN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</si>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</sst>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46A2-2D42-45BB-BFBD-99C19864CC16}">
  <dimension ref="A1:AA10"/>
  <sheetViews>
    <sheetView tabSelected="1" workbookViewId="0">
      <selection activeCell="Q11" sqref="Q11"/>
    </sheetView>
  </sheetViews>
  <sheetFormatPr defaultRowHeight="14.4" x14ac:dyDescent="0.55000000000000004"/>
  <sheetData>
    <row r="1" spans="1:27" ht="7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55000000000000004">
      <c r="A2" t="s">
        <v>27</v>
      </c>
      <c r="B2" t="s">
        <v>28</v>
      </c>
      <c r="C2" t="s">
        <v>29</v>
      </c>
      <c r="D2" t="s">
        <v>30</v>
      </c>
      <c r="E2">
        <v>16.79</v>
      </c>
      <c r="F2">
        <v>-1.29E-2</v>
      </c>
      <c r="G2">
        <v>398.38</v>
      </c>
      <c r="H2">
        <v>-2.46E-2</v>
      </c>
      <c r="I2">
        <v>70</v>
      </c>
      <c r="J2">
        <v>0.1105</v>
      </c>
      <c r="K2">
        <v>0.10869999999999999</v>
      </c>
      <c r="L2">
        <v>0.12429999999999999</v>
      </c>
      <c r="M2">
        <v>9.0399999999999994E-2</v>
      </c>
      <c r="N2">
        <v>8.8699999999999987E-2</v>
      </c>
      <c r="O2">
        <v>-3.8100000000000002E-2</v>
      </c>
      <c r="P2">
        <v>-3.9900000000000005E-2</v>
      </c>
      <c r="Q2">
        <v>-0.12859999999999999</v>
      </c>
      <c r="R2">
        <v>-1.24E-2</v>
      </c>
      <c r="S2">
        <v>-1.4199999999999999E-2</v>
      </c>
      <c r="T2">
        <v>9.4399999999999998E-2</v>
      </c>
      <c r="U2">
        <v>9.7699999999999995E-2</v>
      </c>
      <c r="V2">
        <f>EXP(P2*5)</f>
        <v>0.81914022081292404</v>
      </c>
      <c r="W2">
        <f>MIN(1,MAX(0,N2/T2))</f>
        <v>0.93961864406779649</v>
      </c>
      <c r="X2">
        <f>MIN(K2/T2,1)</f>
        <v>1</v>
      </c>
      <c r="Y2">
        <f>IF(H2&lt;=0,EXP(-(H2^2)/(2*0.07^2)),EXP(-(H2^2)/(2*0.05^2)))</f>
        <v>0.94011692758309795</v>
      </c>
      <c r="Z2">
        <f>EXP(-((I2-180)^2)/(2*75^2))</f>
        <v>0.34110819809659199</v>
      </c>
      <c r="AA2">
        <f>(1.5*V2+1.2*Y2)*MAX(0,W2)^0.5*MAX(0,X2)^0.3+0.3*Z2</f>
        <v>2.3869203713088201</v>
      </c>
    </row>
    <row r="3" spans="1:27" x14ac:dyDescent="0.55000000000000004">
      <c r="A3" t="s">
        <v>27</v>
      </c>
      <c r="B3" t="s">
        <v>31</v>
      </c>
      <c r="C3" t="s">
        <v>29</v>
      </c>
      <c r="D3" t="s">
        <v>32</v>
      </c>
      <c r="E3">
        <v>41.87</v>
      </c>
      <c r="F3">
        <v>4.7699999999999992E-2</v>
      </c>
      <c r="G3">
        <v>773.5</v>
      </c>
      <c r="H3">
        <v>8.9200000000000002E-2</v>
      </c>
      <c r="I3">
        <v>207</v>
      </c>
      <c r="J3">
        <v>6.59E-2</v>
      </c>
      <c r="K3">
        <v>6.13E-2</v>
      </c>
      <c r="L3">
        <v>2.86E-2</v>
      </c>
      <c r="M3">
        <v>0.2606</v>
      </c>
      <c r="N3">
        <v>0.25600000000000001</v>
      </c>
      <c r="O3">
        <v>-9.6799999999999997E-2</v>
      </c>
      <c r="P3">
        <v>-0.1014</v>
      </c>
      <c r="Q3">
        <v>-0.35729999999999995</v>
      </c>
      <c r="R3">
        <v>3.61E-2</v>
      </c>
      <c r="S3">
        <v>3.15E-2</v>
      </c>
      <c r="T3">
        <v>0.1119</v>
      </c>
      <c r="U3">
        <v>0.24149999999999999</v>
      </c>
      <c r="V3">
        <f t="shared" ref="V3:V10" si="0">EXP(P3*5)</f>
        <v>0.60229977048306538</v>
      </c>
      <c r="W3">
        <f t="shared" ref="W3:W10" si="1">MIN(1,MAX(0,N3/T3))</f>
        <v>1</v>
      </c>
      <c r="X3">
        <f t="shared" ref="X3:X10" si="2">MIN(K3/T3,1)</f>
        <v>0.54781054512957994</v>
      </c>
      <c r="Y3">
        <f t="shared" ref="Y3:Y10" si="3">IF(H3&lt;=0,EXP(-(H3^2)/(2*0.07^2)),EXP(-(H3^2)/(2*0.05^2)))</f>
        <v>0.20365497826222956</v>
      </c>
      <c r="Z3">
        <f t="shared" ref="Z3:Z10" si="4">EXP(-((I3-180)^2)/(2*75^2))</f>
        <v>0.93725489561267772</v>
      </c>
      <c r="AA3">
        <f t="shared" ref="AA3:AA10" si="5">(1.5*V3+1.2*Y3)*MAX(0,W3)^0.5*MAX(0,X3)^0.3+0.3*Z3</f>
        <v>1.2394043821365446</v>
      </c>
    </row>
    <row r="4" spans="1:27" x14ac:dyDescent="0.55000000000000004">
      <c r="A4" t="s">
        <v>27</v>
      </c>
      <c r="B4" t="s">
        <v>33</v>
      </c>
      <c r="C4" t="s">
        <v>29</v>
      </c>
      <c r="D4" t="s">
        <v>34</v>
      </c>
      <c r="E4">
        <v>47.77</v>
      </c>
      <c r="F4">
        <v>5.1999999999999998E-3</v>
      </c>
      <c r="G4">
        <v>773.5</v>
      </c>
      <c r="H4">
        <v>1.0200000000000001E-2</v>
      </c>
      <c r="I4">
        <v>333</v>
      </c>
      <c r="J4">
        <v>0.13109999999999999</v>
      </c>
      <c r="K4">
        <v>0.1234</v>
      </c>
      <c r="L4">
        <v>0.1263</v>
      </c>
      <c r="M4">
        <v>0.25140000000000001</v>
      </c>
      <c r="N4">
        <v>0.2437</v>
      </c>
      <c r="O4">
        <v>-5.5599999999999997E-2</v>
      </c>
      <c r="P4">
        <v>-6.3299999999999995E-2</v>
      </c>
      <c r="Q4">
        <v>-0.307</v>
      </c>
      <c r="R4">
        <v>4.3E-3</v>
      </c>
      <c r="S4">
        <v>-3.4999999999999996E-3</v>
      </c>
      <c r="T4">
        <v>0.12920000000000001</v>
      </c>
      <c r="U4">
        <v>0.24149999999999999</v>
      </c>
      <c r="V4">
        <f t="shared" si="0"/>
        <v>0.72869501155978444</v>
      </c>
      <c r="W4">
        <f t="shared" si="1"/>
        <v>1</v>
      </c>
      <c r="X4">
        <f t="shared" si="2"/>
        <v>0.95510835913312686</v>
      </c>
      <c r="Y4">
        <f t="shared" si="3"/>
        <v>0.97940699266077602</v>
      </c>
      <c r="Z4">
        <f t="shared" si="4"/>
        <v>0.12483030799583289</v>
      </c>
      <c r="AA4">
        <f t="shared" si="5"/>
        <v>2.2747386952326809</v>
      </c>
    </row>
    <row r="5" spans="1:27" x14ac:dyDescent="0.55000000000000004">
      <c r="A5" t="s">
        <v>27</v>
      </c>
      <c r="B5" t="s">
        <v>35</v>
      </c>
      <c r="C5" t="s">
        <v>29</v>
      </c>
      <c r="D5" t="s">
        <v>36</v>
      </c>
      <c r="E5">
        <v>48.7</v>
      </c>
      <c r="F5">
        <v>8.3499999999999991E-2</v>
      </c>
      <c r="G5">
        <v>773.5</v>
      </c>
      <c r="H5">
        <v>0.13650000000000001</v>
      </c>
      <c r="I5">
        <v>88</v>
      </c>
      <c r="J5">
        <v>2.7400000000000001E-2</v>
      </c>
      <c r="K5">
        <v>2.5499999999999998E-2</v>
      </c>
      <c r="L5">
        <v>-1.49E-2</v>
      </c>
      <c r="M5">
        <v>0.25489999999999996</v>
      </c>
      <c r="N5">
        <v>0.253</v>
      </c>
      <c r="O5">
        <v>-0.12920000000000001</v>
      </c>
      <c r="P5">
        <v>-0.13109999999999999</v>
      </c>
      <c r="Q5">
        <v>-0.38409999999999994</v>
      </c>
      <c r="R5">
        <v>2.7400000000000001E-2</v>
      </c>
      <c r="S5">
        <v>2.5499999999999998E-2</v>
      </c>
      <c r="T5">
        <v>0.11109999999999999</v>
      </c>
      <c r="U5">
        <v>0.24149999999999999</v>
      </c>
      <c r="V5">
        <f t="shared" si="0"/>
        <v>0.51918240647519209</v>
      </c>
      <c r="W5">
        <f t="shared" si="1"/>
        <v>1</v>
      </c>
      <c r="X5">
        <f t="shared" si="2"/>
        <v>0.22952295229522954</v>
      </c>
      <c r="Y5">
        <f t="shared" si="3"/>
        <v>2.4078161767847283E-2</v>
      </c>
      <c r="Z5">
        <f t="shared" si="4"/>
        <v>0.47125517655151139</v>
      </c>
      <c r="AA5">
        <f t="shared" si="5"/>
        <v>0.66075077697123163</v>
      </c>
    </row>
    <row r="6" spans="1:27" x14ac:dyDescent="0.55000000000000004">
      <c r="A6" t="s">
        <v>27</v>
      </c>
      <c r="B6" t="s">
        <v>37</v>
      </c>
      <c r="C6" t="s">
        <v>29</v>
      </c>
      <c r="D6" t="s">
        <v>38</v>
      </c>
      <c r="E6">
        <v>51.79</v>
      </c>
      <c r="F6">
        <v>6.6699999999999995E-2</v>
      </c>
      <c r="G6">
        <v>773.5</v>
      </c>
      <c r="H6">
        <v>0.12189999999999999</v>
      </c>
      <c r="I6">
        <v>151</v>
      </c>
      <c r="J6">
        <v>4.41E-2</v>
      </c>
      <c r="K6">
        <v>4.0800000000000003E-2</v>
      </c>
      <c r="L6">
        <v>-2.8999999999999998E-3</v>
      </c>
      <c r="M6">
        <v>0.26200000000000001</v>
      </c>
      <c r="N6">
        <v>0.25869999999999999</v>
      </c>
      <c r="O6">
        <v>-0.11410000000000001</v>
      </c>
      <c r="P6">
        <v>-0.1174</v>
      </c>
      <c r="Q6">
        <v>-0.37609999999999999</v>
      </c>
      <c r="R6">
        <v>4.41E-2</v>
      </c>
      <c r="S6">
        <v>4.0800000000000003E-2</v>
      </c>
      <c r="T6">
        <v>0.11019999999999999</v>
      </c>
      <c r="U6">
        <v>0.24149999999999999</v>
      </c>
      <c r="V6">
        <f t="shared" si="0"/>
        <v>0.55599276355783667</v>
      </c>
      <c r="W6">
        <f t="shared" si="1"/>
        <v>1</v>
      </c>
      <c r="X6">
        <f t="shared" si="2"/>
        <v>0.37023593466424687</v>
      </c>
      <c r="Y6">
        <f t="shared" si="3"/>
        <v>5.1204800068150119E-2</v>
      </c>
      <c r="Z6">
        <f t="shared" si="4"/>
        <v>0.92797029578968238</v>
      </c>
      <c r="AA6">
        <f t="shared" si="5"/>
        <v>0.9430174922103709</v>
      </c>
    </row>
    <row r="7" spans="1:27" x14ac:dyDescent="0.55000000000000004">
      <c r="A7" t="s">
        <v>27</v>
      </c>
      <c r="B7" t="s">
        <v>39</v>
      </c>
      <c r="C7" t="s">
        <v>40</v>
      </c>
      <c r="D7" t="s">
        <v>30</v>
      </c>
      <c r="E7">
        <v>37.909999999999997</v>
      </c>
      <c r="F7">
        <v>2.7799999999999998E-2</v>
      </c>
      <c r="G7">
        <v>773.5</v>
      </c>
      <c r="H7">
        <v>4.0599999999999997E-2</v>
      </c>
      <c r="I7">
        <v>25</v>
      </c>
      <c r="J7">
        <v>1.3300000000000001E-2</v>
      </c>
      <c r="K7">
        <v>1.2699999999999999E-2</v>
      </c>
      <c r="L7">
        <v>2.3E-3</v>
      </c>
      <c r="M7">
        <v>0.1303</v>
      </c>
      <c r="N7">
        <v>0.1298</v>
      </c>
      <c r="O7">
        <v>-5.2900000000000003E-2</v>
      </c>
      <c r="P7">
        <v>-5.3399999999999996E-2</v>
      </c>
      <c r="Q7">
        <v>-0.1832</v>
      </c>
      <c r="R7">
        <v>1.1000000000000001E-2</v>
      </c>
      <c r="S7">
        <v>1.04E-2</v>
      </c>
      <c r="T7">
        <v>4.0899999999999999E-2</v>
      </c>
      <c r="U7">
        <v>0.1229</v>
      </c>
      <c r="V7">
        <f t="shared" si="0"/>
        <v>0.765673071465374</v>
      </c>
      <c r="W7">
        <f t="shared" si="1"/>
        <v>1</v>
      </c>
      <c r="X7">
        <f t="shared" si="2"/>
        <v>0.31051344743276282</v>
      </c>
      <c r="Y7">
        <f t="shared" si="3"/>
        <v>0.71915957909306594</v>
      </c>
      <c r="Z7">
        <f t="shared" si="4"/>
        <v>0.11817891718178056</v>
      </c>
      <c r="AA7">
        <f t="shared" si="5"/>
        <v>1.4517182712107801</v>
      </c>
    </row>
    <row r="8" spans="1:27" x14ac:dyDescent="0.55000000000000004">
      <c r="A8" t="s">
        <v>27</v>
      </c>
      <c r="B8" t="s">
        <v>41</v>
      </c>
      <c r="C8" t="s">
        <v>29</v>
      </c>
      <c r="D8" t="s">
        <v>42</v>
      </c>
      <c r="E8">
        <v>46.76</v>
      </c>
      <c r="F8">
        <v>7.0900000000000005E-2</v>
      </c>
      <c r="G8">
        <v>773.5</v>
      </c>
      <c r="H8">
        <v>0.1183</v>
      </c>
      <c r="I8">
        <v>116</v>
      </c>
      <c r="J8">
        <v>3.7000000000000005E-2</v>
      </c>
      <c r="K8">
        <v>3.44E-2</v>
      </c>
      <c r="L8">
        <v>-1.8E-3</v>
      </c>
      <c r="M8">
        <v>0.25579999999999997</v>
      </c>
      <c r="N8">
        <v>0.25319999999999998</v>
      </c>
      <c r="O8">
        <v>-0.1183</v>
      </c>
      <c r="P8">
        <v>-0.1208</v>
      </c>
      <c r="Q8">
        <v>-0.37409999999999999</v>
      </c>
      <c r="R8">
        <v>3.7000000000000005E-2</v>
      </c>
      <c r="S8">
        <v>3.44E-2</v>
      </c>
      <c r="T8">
        <v>0.10779999999999999</v>
      </c>
      <c r="U8">
        <v>0.24149999999999999</v>
      </c>
      <c r="V8">
        <f t="shared" si="0"/>
        <v>0.54662077419459765</v>
      </c>
      <c r="W8">
        <f t="shared" si="1"/>
        <v>1</v>
      </c>
      <c r="X8">
        <f t="shared" si="2"/>
        <v>0.31910946196660483</v>
      </c>
      <c r="Y8">
        <f t="shared" si="3"/>
        <v>6.0872242277611205E-2</v>
      </c>
      <c r="Z8">
        <f t="shared" si="4"/>
        <v>0.69482942938187908</v>
      </c>
      <c r="AA8">
        <f t="shared" si="5"/>
        <v>0.84235151483614268</v>
      </c>
    </row>
    <row r="9" spans="1:27" x14ac:dyDescent="0.55000000000000004">
      <c r="A9" t="s">
        <v>27</v>
      </c>
      <c r="B9" t="s">
        <v>43</v>
      </c>
      <c r="C9" t="s">
        <v>29</v>
      </c>
      <c r="D9" t="s">
        <v>44</v>
      </c>
      <c r="E9">
        <v>51.47</v>
      </c>
      <c r="F9">
        <v>2.3E-2</v>
      </c>
      <c r="G9">
        <v>773.5</v>
      </c>
      <c r="H9">
        <v>4.0599999999999997E-2</v>
      </c>
      <c r="I9">
        <v>298</v>
      </c>
      <c r="J9">
        <v>0.10890000000000001</v>
      </c>
      <c r="K9">
        <v>0.10210000000000001</v>
      </c>
      <c r="L9">
        <v>9.1600000000000001E-2</v>
      </c>
      <c r="M9">
        <v>0.25440000000000002</v>
      </c>
      <c r="N9">
        <v>0.2477</v>
      </c>
      <c r="O9">
        <v>-7.2900000000000006E-2</v>
      </c>
      <c r="P9">
        <v>-7.9699999999999993E-2</v>
      </c>
      <c r="Q9">
        <v>-0.32729999999999998</v>
      </c>
      <c r="R9">
        <v>1.5700000000000002E-2</v>
      </c>
      <c r="S9">
        <v>8.8999999999999999E-3</v>
      </c>
      <c r="T9">
        <v>0.1275</v>
      </c>
      <c r="U9">
        <v>0.24149999999999999</v>
      </c>
      <c r="V9">
        <f t="shared" si="0"/>
        <v>0.67132628059194099</v>
      </c>
      <c r="W9">
        <f t="shared" si="1"/>
        <v>1</v>
      </c>
      <c r="X9">
        <f t="shared" si="2"/>
        <v>0.8007843137254903</v>
      </c>
      <c r="Y9">
        <f t="shared" si="3"/>
        <v>0.71915957909306594</v>
      </c>
      <c r="Z9">
        <f t="shared" si="4"/>
        <v>0.29005379045071689</v>
      </c>
      <c r="AA9">
        <f t="shared" si="5"/>
        <v>1.8364270910860314</v>
      </c>
    </row>
    <row r="10" spans="1:27" x14ac:dyDescent="0.55000000000000004">
      <c r="A10" t="s">
        <v>27</v>
      </c>
      <c r="B10" t="s">
        <v>45</v>
      </c>
      <c r="C10" t="s">
        <v>29</v>
      </c>
      <c r="D10" t="s">
        <v>46</v>
      </c>
      <c r="E10">
        <v>50.36</v>
      </c>
      <c r="F10">
        <v>2.3E-2</v>
      </c>
      <c r="G10">
        <v>773.5</v>
      </c>
      <c r="H10">
        <v>3.5799999999999998E-2</v>
      </c>
      <c r="I10">
        <v>269</v>
      </c>
      <c r="J10">
        <v>0.10830000000000001</v>
      </c>
      <c r="K10">
        <v>0.10210000000000001</v>
      </c>
      <c r="L10">
        <v>9.6699999999999994E-2</v>
      </c>
      <c r="M10">
        <v>0.25069999999999998</v>
      </c>
      <c r="N10">
        <v>0.2445</v>
      </c>
      <c r="O10">
        <v>-7.3599999999999999E-2</v>
      </c>
      <c r="P10">
        <v>-7.9699999999999993E-2</v>
      </c>
      <c r="Q10">
        <v>-0.32420000000000004</v>
      </c>
      <c r="R10">
        <v>1.03E-2</v>
      </c>
      <c r="S10">
        <v>4.1999999999999997E-3</v>
      </c>
      <c r="T10">
        <v>0.1275</v>
      </c>
      <c r="U10">
        <v>0.24149999999999999</v>
      </c>
      <c r="V10">
        <f t="shared" si="0"/>
        <v>0.67132628059194099</v>
      </c>
      <c r="W10">
        <f t="shared" si="1"/>
        <v>1</v>
      </c>
      <c r="X10">
        <f t="shared" si="2"/>
        <v>0.8007843137254903</v>
      </c>
      <c r="Y10">
        <f t="shared" si="3"/>
        <v>0.77388809186457674</v>
      </c>
      <c r="Z10">
        <f t="shared" si="4"/>
        <v>0.49455896721609999</v>
      </c>
      <c r="AA10">
        <f t="shared" si="5"/>
        <v>1.9592184110738962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Corcoran</dc:creator>
  <cp:lastModifiedBy>Patrick Corcoran</cp:lastModifiedBy>
  <dcterms:created xsi:type="dcterms:W3CDTF">2026-10-08T13:47:40Z</dcterms:created>
  <dcterms:modified xsi:type="dcterms:W3CDTF">2026-10-08T13:48:09Z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